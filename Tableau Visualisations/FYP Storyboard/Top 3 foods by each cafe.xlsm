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onovan\Desktop\FYP Storyboard\"/>
    </mc:Choice>
  </mc:AlternateContent>
  <xr:revisionPtr revIDLastSave="0" documentId="10_ncr:100000_{BF746F61-A32B-47CF-90D9-C21DA4EF3768}" xr6:coauthVersionLast="31" xr6:coauthVersionMax="31" xr10:uidLastSave="{00000000-0000-0000-0000-000000000000}"/>
  <bookViews>
    <workbookView xWindow="0" yWindow="0" windowWidth="19200" windowHeight="5800" xr2:uid="{B727FEE2-D1F4-4A5D-ABCC-B26E37F2D8E0}"/>
  </bookViews>
  <sheets>
    <sheet name="Sheet1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5" i="1" l="1"/>
  <c r="E64" i="1"/>
  <c r="E63" i="1"/>
  <c r="E62" i="1"/>
  <c r="E61" i="1"/>
  <c r="E60" i="1"/>
  <c r="E59" i="1"/>
  <c r="E58" i="1"/>
  <c r="E55" i="1"/>
  <c r="E53" i="1"/>
  <c r="E50" i="1"/>
  <c r="E49" i="1"/>
  <c r="E47" i="1"/>
  <c r="E45" i="1"/>
  <c r="E43" i="1"/>
  <c r="E40" i="1"/>
  <c r="E37" i="1"/>
  <c r="E26" i="1"/>
  <c r="E14" i="1"/>
  <c r="E36" i="1" l="1"/>
  <c r="E35" i="1"/>
  <c r="E3" i="1"/>
  <c r="E4" i="1"/>
  <c r="E5" i="1"/>
  <c r="E6" i="1"/>
  <c r="E7" i="1"/>
  <c r="E8" i="1"/>
  <c r="E9" i="1"/>
  <c r="E10" i="1"/>
  <c r="E11" i="1"/>
  <c r="E12" i="1"/>
  <c r="E13" i="1"/>
  <c r="E15" i="1"/>
  <c r="E16" i="1"/>
  <c r="E17" i="1"/>
  <c r="E18" i="1"/>
  <c r="E19" i="1"/>
  <c r="E20" i="1"/>
  <c r="E21" i="1"/>
  <c r="E22" i="1"/>
  <c r="E23" i="1"/>
  <c r="E24" i="1"/>
  <c r="E25" i="1"/>
  <c r="E27" i="1"/>
  <c r="E28" i="1"/>
  <c r="E29" i="1"/>
  <c r="E30" i="1"/>
  <c r="E31" i="1"/>
  <c r="E32" i="1"/>
  <c r="E33" i="1"/>
  <c r="E34" i="1"/>
  <c r="E39" i="1"/>
  <c r="E41" i="1"/>
  <c r="E42" i="1"/>
  <c r="E44" i="1"/>
  <c r="E46" i="1"/>
  <c r="E48" i="1"/>
  <c r="E51" i="1"/>
  <c r="E52" i="1"/>
  <c r="E54" i="1"/>
  <c r="E57" i="1"/>
  <c r="E2" i="1"/>
</calcChain>
</file>

<file path=xl/sharedStrings.xml><?xml version="1.0" encoding="utf-8"?>
<sst xmlns="http://schemas.openxmlformats.org/spreadsheetml/2006/main" count="223" uniqueCount="133">
  <si>
    <t>Cafe_Name</t>
  </si>
  <si>
    <t>The Populus Coffee &amp; Food Co.</t>
  </si>
  <si>
    <t>Xiao Ya Tou</t>
  </si>
  <si>
    <t>Bearded Bella</t>
  </si>
  <si>
    <t>The Lokal</t>
  </si>
  <si>
    <t>Common Man Stan</t>
  </si>
  <si>
    <t>Lunar Coffee Brewers</t>
  </si>
  <si>
    <t>Guac &amp; Go</t>
  </si>
  <si>
    <t>Well Dressed Salad Bar &amp; Cafe</t>
  </si>
  <si>
    <t>Group Therapy (Duxton)</t>
  </si>
  <si>
    <t>VENUE by Sebastian</t>
  </si>
  <si>
    <t>NINJA BOWL</t>
  </si>
  <si>
    <t>My Awesome Cafe</t>
  </si>
  <si>
    <t>Café &amp; Bar Gavroche</t>
  </si>
  <si>
    <t>JAPAN RAIL CAFE</t>
  </si>
  <si>
    <t>5 The Moments</t>
  </si>
  <si>
    <t>Eight Cafe &amp; Bar</t>
  </si>
  <si>
    <t>PS.Cafe (Ann Siang Hill)</t>
  </si>
  <si>
    <t>Hattendo Cafe</t>
  </si>
  <si>
    <t>Royz et Vous (Telok Ayer)</t>
  </si>
  <si>
    <t>Hustle Co</t>
  </si>
  <si>
    <t>Fat Prince</t>
  </si>
  <si>
    <t>Bingki Korean Dessert Cafe</t>
  </si>
  <si>
    <t>Chatuchak Thai Tea</t>
  </si>
  <si>
    <t>Henri Charpentier (Tanjong Pagar Centre)</t>
  </si>
  <si>
    <t>HashTag88 Cafe &amp; Bar</t>
  </si>
  <si>
    <t>Kosnica</t>
  </si>
  <si>
    <t>The Providore (Downtown Gallery)</t>
  </si>
  <si>
    <t>Harvestry</t>
  </si>
  <si>
    <t>The Autobus</t>
  </si>
  <si>
    <t>Drury Lane (Tanjong Pagar)</t>
  </si>
  <si>
    <t>Ah Seng (Hai Nam) Coffee (Amoy Street Food Centre)</t>
  </si>
  <si>
    <t>Dapper Coffee</t>
  </si>
  <si>
    <t>Luxe</t>
  </si>
  <si>
    <t>1KS</t>
  </si>
  <si>
    <t>Coffee Break (Amoy Street Food Centre)</t>
  </si>
  <si>
    <t>Joe &amp; Dough (Capital Tower)</t>
  </si>
  <si>
    <t>The Caffeine Experience</t>
  </si>
  <si>
    <t>Pickleville</t>
  </si>
  <si>
    <t>Rookery (Capital Tower)</t>
  </si>
  <si>
    <t>Café 2000 (M Hotel)</t>
  </si>
  <si>
    <t>Kanoom - Little Thai Cafe</t>
  </si>
  <si>
    <t>The White Rocket</t>
  </si>
  <si>
    <t>Ash &amp; Char</t>
  </si>
  <si>
    <t>Socks &amp; Pans</t>
  </si>
  <si>
    <t>Epiphyte</t>
  </si>
  <si>
    <t>Mavrx Coffee Apothecary</t>
  </si>
  <si>
    <t>Pantler</t>
  </si>
  <si>
    <t>Alchemist (International Plaza)</t>
  </si>
  <si>
    <t>Patisserie G (Downtown Gallery)</t>
  </si>
  <si>
    <t>Loloku</t>
  </si>
  <si>
    <t>Tom N Toms Coffee</t>
  </si>
  <si>
    <t>Nylon Coffee Roasters</t>
  </si>
  <si>
    <t>Omotesando Koffee</t>
  </si>
  <si>
    <t>Monument Lifestyle</t>
  </si>
  <si>
    <t>Costa Coffee (Sofitel So Singapore)</t>
  </si>
  <si>
    <t>Chong Wen Ge Cafe 崇文阁</t>
  </si>
  <si>
    <t>Huggs Cafe (Cecil Street)</t>
  </si>
  <si>
    <t>Mellower Coffee (Tanjong Pagar)</t>
  </si>
  <si>
    <t>Cedele Bakery Cafe (Robinson Road)</t>
  </si>
  <si>
    <t>Jewel Coffee (Tanjong Pagar Centre)</t>
  </si>
  <si>
    <t>Good Morning Nanyang Cafe 早安南洋 (Maxwell Chambers)</t>
  </si>
  <si>
    <t>The New Harbour Café &amp; Bar</t>
  </si>
  <si>
    <t>Orchid Cafe (Orchid Hotel)</t>
  </si>
  <si>
    <t>Trung Nguyen Coffee (International Plaza)</t>
  </si>
  <si>
    <t>poached egg</t>
  </si>
  <si>
    <t>truffle fries</t>
  </si>
  <si>
    <t>roasted pumpkin</t>
  </si>
  <si>
    <t>1st Food</t>
  </si>
  <si>
    <t>2nd Food</t>
  </si>
  <si>
    <t>3rd Food</t>
  </si>
  <si>
    <t>Top foods they offer</t>
  </si>
  <si>
    <t>smooth cream</t>
  </si>
  <si>
    <t>braised beef</t>
  </si>
  <si>
    <t>earl grey</t>
  </si>
  <si>
    <t>pork belly</t>
  </si>
  <si>
    <t>lemon curd</t>
  </si>
  <si>
    <t>rice bowl</t>
  </si>
  <si>
    <t>gula melaka</t>
  </si>
  <si>
    <t>scrambled egg</t>
  </si>
  <si>
    <t>chocolate mousse</t>
  </si>
  <si>
    <t>beef cheek</t>
  </si>
  <si>
    <t>cream sauce</t>
  </si>
  <si>
    <t>ice cream</t>
  </si>
  <si>
    <t>beef patty</t>
  </si>
  <si>
    <t>whipped cream</t>
  </si>
  <si>
    <t>hollandaise sauce</t>
  </si>
  <si>
    <t>dark chocolate</t>
  </si>
  <si>
    <t>iced mocha</t>
  </si>
  <si>
    <t>eggs ben</t>
  </si>
  <si>
    <t>pickled vegetable</t>
  </si>
  <si>
    <t>onsen egg</t>
  </si>
  <si>
    <t>sweet potato</t>
  </si>
  <si>
    <t>grain bowl</t>
  </si>
  <si>
    <t>nut butter</t>
  </si>
  <si>
    <t>smoked salmon</t>
  </si>
  <si>
    <t>aglio olio</t>
  </si>
  <si>
    <t>truffle oil</t>
  </si>
  <si>
    <t>pork jowl</t>
  </si>
  <si>
    <t>french toast</t>
  </si>
  <si>
    <t>craft beer</t>
  </si>
  <si>
    <t>soy sauce</t>
  </si>
  <si>
    <t>cherry tomato</t>
  </si>
  <si>
    <t>custard cream</t>
  </si>
  <si>
    <t>maple syrup</t>
  </si>
  <si>
    <t>smashed avocado</t>
  </si>
  <si>
    <t>shaved ice</t>
  </si>
  <si>
    <t>green tea</t>
  </si>
  <si>
    <t>thai coffee</t>
  </si>
  <si>
    <t>thai tea</t>
  </si>
  <si>
    <t>cream cheese</t>
  </si>
  <si>
    <t>sponge cake</t>
  </si>
  <si>
    <t>red velvet</t>
  </si>
  <si>
    <t>bean sprouts</t>
  </si>
  <si>
    <t>chicken thigh</t>
  </si>
  <si>
    <t>pulled pork</t>
  </si>
  <si>
    <t>brown rice</t>
  </si>
  <si>
    <t>salted egg</t>
  </si>
  <si>
    <t>kaya toast</t>
  </si>
  <si>
    <t>unicorn tears</t>
  </si>
  <si>
    <t>coffee tea</t>
  </si>
  <si>
    <t>rice bowls</t>
  </si>
  <si>
    <t>pickled cucumber</t>
  </si>
  <si>
    <t>milk tea</t>
  </si>
  <si>
    <t>thai green</t>
  </si>
  <si>
    <t>thai milk</t>
  </si>
  <si>
    <t>chocolate sponge</t>
  </si>
  <si>
    <t>wagyu beef</t>
  </si>
  <si>
    <t>egg yolk</t>
  </si>
  <si>
    <t>red bean</t>
  </si>
  <si>
    <t>coffee brew</t>
  </si>
  <si>
    <t>iced cappuccino</t>
  </si>
  <si>
    <t>hokkien mee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</si>
</sst>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3CA7C-5512-4B05-874D-B7596E374281}">
  <dimension ref="A1:E65"/>
  <sheetViews>
    <sheetView tabSelected="1" topLeftCell="A52" workbookViewId="0">
      <selection activeCell="F65" sqref="F65"/>
    </sheetView>
  </sheetViews>
  <sheetFormatPr defaultRowHeight="14.5" x14ac:dyDescent="0.35"/>
  <cols>
    <col min="1" max="1" width="51.81640625" bestFit="1" customWidth="1"/>
    <col min="2" max="2" width="18.36328125" bestFit="1" customWidth="1"/>
    <col min="3" max="3" width="15.6328125" bestFit="1" customWidth="1"/>
    <col min="4" max="4" width="13.81640625" bestFit="1" customWidth="1"/>
    <col min="5" max="5" width="18.54296875" customWidth="1"/>
  </cols>
  <sheetData>
    <row r="1" spans="1:5" x14ac:dyDescent="0.35">
      <c r="A1" s="1" t="s">
        <v>0</v>
      </c>
      <c r="B1" s="1" t="s">
        <v>68</v>
      </c>
      <c r="C1" s="1" t="s">
        <v>69</v>
      </c>
      <c r="D1" s="1" t="s">
        <v>70</v>
      </c>
      <c r="E1" s="1" t="s">
        <v>71</v>
      </c>
    </row>
    <row r="2" spans="1:5" x14ac:dyDescent="0.35">
      <c r="A2" t="s">
        <v>1</v>
      </c>
      <c r="B2" t="s">
        <v>67</v>
      </c>
      <c r="C2" t="s">
        <v>75</v>
      </c>
      <c r="D2" t="s">
        <v>76</v>
      </c>
      <c r="E2" t="str">
        <f>_xlfn.CONCAT(B2, ", ",C2,", ",D2)</f>
        <v>roasted pumpkin, pork belly, lemon curd</v>
      </c>
    </row>
    <row r="3" spans="1:5" x14ac:dyDescent="0.35">
      <c r="A3" t="s">
        <v>2</v>
      </c>
      <c r="B3" t="s">
        <v>77</v>
      </c>
      <c r="C3" t="s">
        <v>78</v>
      </c>
      <c r="D3" t="s">
        <v>79</v>
      </c>
      <c r="E3" t="str">
        <f t="shared" ref="E3:E65" si="0">_xlfn.CONCAT(B3, ", ",C3,", ",D3)</f>
        <v>rice bowl, gula melaka, scrambled egg</v>
      </c>
    </row>
    <row r="4" spans="1:5" x14ac:dyDescent="0.35">
      <c r="A4" t="s">
        <v>3</v>
      </c>
      <c r="B4" t="s">
        <v>80</v>
      </c>
      <c r="C4" t="s">
        <v>86</v>
      </c>
      <c r="D4" t="s">
        <v>87</v>
      </c>
      <c r="E4" t="str">
        <f t="shared" si="0"/>
        <v>chocolate mousse, hollandaise sauce, dark chocolate</v>
      </c>
    </row>
    <row r="5" spans="1:5" x14ac:dyDescent="0.35">
      <c r="A5" t="s">
        <v>4</v>
      </c>
      <c r="B5" t="s">
        <v>80</v>
      </c>
      <c r="C5" t="s">
        <v>67</v>
      </c>
      <c r="D5" t="s">
        <v>81</v>
      </c>
      <c r="E5" t="str">
        <f t="shared" si="0"/>
        <v>chocolate mousse, roasted pumpkin, beef cheek</v>
      </c>
    </row>
    <row r="6" spans="1:5" x14ac:dyDescent="0.35">
      <c r="A6" t="s">
        <v>5</v>
      </c>
      <c r="B6" t="s">
        <v>88</v>
      </c>
      <c r="C6" t="s">
        <v>89</v>
      </c>
      <c r="D6" t="s">
        <v>65</v>
      </c>
      <c r="E6" t="str">
        <f t="shared" si="0"/>
        <v>iced mocha, eggs ben, poached egg</v>
      </c>
    </row>
    <row r="7" spans="1:5" x14ac:dyDescent="0.35">
      <c r="A7" t="s">
        <v>6</v>
      </c>
      <c r="B7" t="s">
        <v>83</v>
      </c>
      <c r="C7" t="s">
        <v>90</v>
      </c>
      <c r="D7" t="s">
        <v>91</v>
      </c>
      <c r="E7" t="str">
        <f t="shared" si="0"/>
        <v>ice cream, pickled vegetable, onsen egg</v>
      </c>
    </row>
    <row r="8" spans="1:5" x14ac:dyDescent="0.35">
      <c r="A8" t="s">
        <v>7</v>
      </c>
      <c r="B8" t="s">
        <v>83</v>
      </c>
      <c r="C8" t="s">
        <v>92</v>
      </c>
      <c r="D8" t="s">
        <v>93</v>
      </c>
      <c r="E8" t="str">
        <f t="shared" si="0"/>
        <v>ice cream, sweet potato, grain bowl</v>
      </c>
    </row>
    <row r="9" spans="1:5" x14ac:dyDescent="0.35">
      <c r="A9" t="s">
        <v>8</v>
      </c>
      <c r="B9" t="s">
        <v>94</v>
      </c>
      <c r="C9" t="s">
        <v>93</v>
      </c>
      <c r="D9" t="s">
        <v>83</v>
      </c>
      <c r="E9" t="str">
        <f t="shared" si="0"/>
        <v>nut butter, grain bowl, ice cream</v>
      </c>
    </row>
    <row r="10" spans="1:5" x14ac:dyDescent="0.35">
      <c r="A10" t="s">
        <v>9</v>
      </c>
      <c r="B10" t="s">
        <v>88</v>
      </c>
      <c r="C10" t="s">
        <v>95</v>
      </c>
      <c r="D10" t="s">
        <v>96</v>
      </c>
      <c r="E10" t="str">
        <f t="shared" si="0"/>
        <v>iced mocha, smoked salmon, aglio olio</v>
      </c>
    </row>
    <row r="11" spans="1:5" x14ac:dyDescent="0.35">
      <c r="A11" t="s">
        <v>10</v>
      </c>
      <c r="B11" t="s">
        <v>97</v>
      </c>
      <c r="C11" t="s">
        <v>85</v>
      </c>
      <c r="D11" t="s">
        <v>98</v>
      </c>
      <c r="E11" t="str">
        <f t="shared" si="0"/>
        <v>truffle oil, whipped cream, pork jowl</v>
      </c>
    </row>
    <row r="12" spans="1:5" x14ac:dyDescent="0.35">
      <c r="A12" t="s">
        <v>11</v>
      </c>
      <c r="B12" t="s">
        <v>79</v>
      </c>
      <c r="C12" t="s">
        <v>82</v>
      </c>
      <c r="D12" t="s">
        <v>66</v>
      </c>
      <c r="E12" t="str">
        <f t="shared" si="0"/>
        <v>scrambled egg, cream sauce, truffle fries</v>
      </c>
    </row>
    <row r="13" spans="1:5" x14ac:dyDescent="0.35">
      <c r="A13" t="s">
        <v>12</v>
      </c>
      <c r="B13" t="s">
        <v>83</v>
      </c>
      <c r="C13" t="s">
        <v>95</v>
      </c>
      <c r="D13" t="s">
        <v>99</v>
      </c>
      <c r="E13" t="str">
        <f t="shared" si="0"/>
        <v>ice cream, smoked salmon, french toast</v>
      </c>
    </row>
    <row r="14" spans="1:5" x14ac:dyDescent="0.35">
      <c r="A14" t="s">
        <v>13</v>
      </c>
      <c r="B14" t="s">
        <v>83</v>
      </c>
      <c r="E14" t="str">
        <f>B14</f>
        <v>ice cream</v>
      </c>
    </row>
    <row r="15" spans="1:5" x14ac:dyDescent="0.35">
      <c r="A15" t="s">
        <v>14</v>
      </c>
      <c r="B15" t="s">
        <v>83</v>
      </c>
      <c r="C15" t="s">
        <v>84</v>
      </c>
      <c r="D15" t="s">
        <v>85</v>
      </c>
      <c r="E15" t="str">
        <f t="shared" si="0"/>
        <v>ice cream, beef patty, whipped cream</v>
      </c>
    </row>
    <row r="16" spans="1:5" x14ac:dyDescent="0.35">
      <c r="A16" t="s">
        <v>15</v>
      </c>
      <c r="B16" t="s">
        <v>74</v>
      </c>
      <c r="C16" t="s">
        <v>100</v>
      </c>
      <c r="D16" t="s">
        <v>83</v>
      </c>
      <c r="E16" t="str">
        <f t="shared" si="0"/>
        <v>earl grey, craft beer, ice cream</v>
      </c>
    </row>
    <row r="17" spans="1:5" x14ac:dyDescent="0.35">
      <c r="A17" t="s">
        <v>16</v>
      </c>
      <c r="B17" t="s">
        <v>83</v>
      </c>
      <c r="C17" t="s">
        <v>75</v>
      </c>
      <c r="D17" t="s">
        <v>101</v>
      </c>
      <c r="E17" t="str">
        <f t="shared" si="0"/>
        <v>ice cream, pork belly, soy sauce</v>
      </c>
    </row>
    <row r="18" spans="1:5" x14ac:dyDescent="0.35">
      <c r="A18" t="s">
        <v>17</v>
      </c>
      <c r="B18" t="s">
        <v>83</v>
      </c>
      <c r="C18" t="s">
        <v>96</v>
      </c>
      <c r="D18" t="s">
        <v>102</v>
      </c>
      <c r="E18" t="str">
        <f t="shared" si="0"/>
        <v>ice cream, aglio olio, cherry tomato</v>
      </c>
    </row>
    <row r="19" spans="1:5" x14ac:dyDescent="0.35">
      <c r="A19" t="s">
        <v>18</v>
      </c>
      <c r="B19" t="s">
        <v>103</v>
      </c>
      <c r="C19" t="s">
        <v>85</v>
      </c>
      <c r="D19" t="s">
        <v>99</v>
      </c>
      <c r="E19" t="str">
        <f t="shared" si="0"/>
        <v>custard cream, whipped cream, french toast</v>
      </c>
    </row>
    <row r="20" spans="1:5" x14ac:dyDescent="0.35">
      <c r="A20" t="s">
        <v>19</v>
      </c>
      <c r="B20" t="s">
        <v>89</v>
      </c>
      <c r="C20" t="s">
        <v>92</v>
      </c>
      <c r="D20" t="s">
        <v>83</v>
      </c>
      <c r="E20" t="str">
        <f t="shared" si="0"/>
        <v>eggs ben, sweet potato, ice cream</v>
      </c>
    </row>
    <row r="21" spans="1:5" x14ac:dyDescent="0.35">
      <c r="A21" t="s">
        <v>20</v>
      </c>
      <c r="B21" t="s">
        <v>82</v>
      </c>
      <c r="C21" t="s">
        <v>89</v>
      </c>
      <c r="D21" t="s">
        <v>65</v>
      </c>
      <c r="E21" t="str">
        <f t="shared" si="0"/>
        <v>cream sauce, eggs ben, poached egg</v>
      </c>
    </row>
    <row r="22" spans="1:5" x14ac:dyDescent="0.35">
      <c r="A22" t="s">
        <v>21</v>
      </c>
      <c r="B22" t="s">
        <v>104</v>
      </c>
      <c r="C22" t="s">
        <v>105</v>
      </c>
      <c r="D22" t="s">
        <v>81</v>
      </c>
      <c r="E22" t="str">
        <f t="shared" si="0"/>
        <v>maple syrup, smashed avocado, beef cheek</v>
      </c>
    </row>
    <row r="23" spans="1:5" x14ac:dyDescent="0.35">
      <c r="A23" t="s">
        <v>22</v>
      </c>
      <c r="B23" t="s">
        <v>106</v>
      </c>
      <c r="C23" t="s">
        <v>107</v>
      </c>
      <c r="D23" t="s">
        <v>83</v>
      </c>
      <c r="E23" t="str">
        <f t="shared" si="0"/>
        <v>shaved ice, green tea, ice cream</v>
      </c>
    </row>
    <row r="24" spans="1:5" x14ac:dyDescent="0.35">
      <c r="A24" t="s">
        <v>23</v>
      </c>
      <c r="B24" t="s">
        <v>83</v>
      </c>
      <c r="C24" t="s">
        <v>109</v>
      </c>
      <c r="D24" t="s">
        <v>108</v>
      </c>
      <c r="E24" t="str">
        <f t="shared" si="0"/>
        <v>ice cream, thai tea, thai coffee</v>
      </c>
    </row>
    <row r="25" spans="1:5" x14ac:dyDescent="0.35">
      <c r="A25" t="s">
        <v>24</v>
      </c>
      <c r="B25" t="s">
        <v>83</v>
      </c>
      <c r="C25" t="s">
        <v>110</v>
      </c>
      <c r="D25" t="s">
        <v>111</v>
      </c>
      <c r="E25" t="str">
        <f t="shared" si="0"/>
        <v>ice cream, cream cheese, sponge cake</v>
      </c>
    </row>
    <row r="26" spans="1:5" x14ac:dyDescent="0.35">
      <c r="A26" t="s">
        <v>25</v>
      </c>
      <c r="B26" t="s">
        <v>83</v>
      </c>
      <c r="E26" t="str">
        <f>B26</f>
        <v>ice cream</v>
      </c>
    </row>
    <row r="27" spans="1:5" x14ac:dyDescent="0.35">
      <c r="A27" t="s">
        <v>26</v>
      </c>
      <c r="B27" t="s">
        <v>83</v>
      </c>
      <c r="C27" t="s">
        <v>74</v>
      </c>
      <c r="D27" t="s">
        <v>112</v>
      </c>
      <c r="E27" t="str">
        <f t="shared" si="0"/>
        <v>ice cream, earl grey, red velvet</v>
      </c>
    </row>
    <row r="28" spans="1:5" x14ac:dyDescent="0.35">
      <c r="A28" t="s">
        <v>27</v>
      </c>
      <c r="B28" t="s">
        <v>65</v>
      </c>
      <c r="C28" t="s">
        <v>80</v>
      </c>
      <c r="D28" t="s">
        <v>87</v>
      </c>
      <c r="E28" t="str">
        <f t="shared" si="0"/>
        <v>poached egg, chocolate mousse, dark chocolate</v>
      </c>
    </row>
    <row r="29" spans="1:5" x14ac:dyDescent="0.35">
      <c r="A29" t="s">
        <v>28</v>
      </c>
      <c r="B29" t="s">
        <v>112</v>
      </c>
      <c r="C29" t="s">
        <v>113</v>
      </c>
      <c r="D29" t="s">
        <v>114</v>
      </c>
      <c r="E29" t="str">
        <f t="shared" si="0"/>
        <v>red velvet, bean sprouts, chicken thigh</v>
      </c>
    </row>
    <row r="30" spans="1:5" x14ac:dyDescent="0.35">
      <c r="A30" t="s">
        <v>29</v>
      </c>
      <c r="B30" t="s">
        <v>115</v>
      </c>
      <c r="C30" t="s">
        <v>89</v>
      </c>
      <c r="D30" t="s">
        <v>116</v>
      </c>
      <c r="E30" t="str">
        <f t="shared" si="0"/>
        <v>pulled pork, eggs ben, brown rice</v>
      </c>
    </row>
    <row r="31" spans="1:5" x14ac:dyDescent="0.35">
      <c r="A31" t="s">
        <v>30</v>
      </c>
      <c r="B31" t="s">
        <v>99</v>
      </c>
      <c r="C31" t="s">
        <v>89</v>
      </c>
      <c r="D31" t="s">
        <v>117</v>
      </c>
      <c r="E31" t="str">
        <f t="shared" si="0"/>
        <v>french toast, eggs ben, salted egg</v>
      </c>
    </row>
    <row r="32" spans="1:5" x14ac:dyDescent="0.35">
      <c r="A32" t="s">
        <v>31</v>
      </c>
      <c r="B32" t="s">
        <v>118</v>
      </c>
      <c r="C32" t="s">
        <v>101</v>
      </c>
      <c r="D32" t="s">
        <v>99</v>
      </c>
      <c r="E32" t="str">
        <f t="shared" si="0"/>
        <v>kaya toast, soy sauce, french toast</v>
      </c>
    </row>
    <row r="33" spans="1:5" x14ac:dyDescent="0.35">
      <c r="A33" t="s">
        <v>32</v>
      </c>
      <c r="B33" t="s">
        <v>111</v>
      </c>
      <c r="C33" t="s">
        <v>119</v>
      </c>
      <c r="D33" t="s">
        <v>79</v>
      </c>
      <c r="E33" t="str">
        <f t="shared" si="0"/>
        <v>sponge cake, unicorn tears, scrambled egg</v>
      </c>
    </row>
    <row r="34" spans="1:5" x14ac:dyDescent="0.35">
      <c r="A34" t="s">
        <v>33</v>
      </c>
      <c r="B34" t="s">
        <v>67</v>
      </c>
      <c r="C34" t="s">
        <v>66</v>
      </c>
      <c r="D34" t="s">
        <v>65</v>
      </c>
      <c r="E34" t="str">
        <f t="shared" si="0"/>
        <v>roasted pumpkin, truffle fries, poached egg</v>
      </c>
    </row>
    <row r="35" spans="1:5" x14ac:dyDescent="0.35">
      <c r="A35" t="s">
        <v>34</v>
      </c>
      <c r="B35" t="s">
        <v>74</v>
      </c>
      <c r="C35" t="s">
        <v>73</v>
      </c>
      <c r="D35" t="s">
        <v>72</v>
      </c>
      <c r="E35" t="str">
        <f>_xlfn.CONCAT(B35, ", ",C35,", ",D35)</f>
        <v>earl grey, braised beef, smooth cream</v>
      </c>
    </row>
    <row r="36" spans="1:5" x14ac:dyDescent="0.35">
      <c r="A36" t="s">
        <v>35</v>
      </c>
      <c r="B36" t="s">
        <v>94</v>
      </c>
      <c r="C36" t="s">
        <v>120</v>
      </c>
      <c r="D36" t="s">
        <v>118</v>
      </c>
      <c r="E36" t="str">
        <f>_xlfn.CONCAT(B36, ", ",C36,", ",D36)</f>
        <v>nut butter, coffee tea, kaya toast</v>
      </c>
    </row>
    <row r="37" spans="1:5" x14ac:dyDescent="0.35">
      <c r="A37" t="s">
        <v>36</v>
      </c>
      <c r="B37" t="s">
        <v>74</v>
      </c>
      <c r="E37" t="str">
        <f>B37</f>
        <v>earl grey</v>
      </c>
    </row>
    <row r="38" spans="1:5" x14ac:dyDescent="0.35">
      <c r="A38" t="s">
        <v>37</v>
      </c>
    </row>
    <row r="39" spans="1:5" x14ac:dyDescent="0.35">
      <c r="A39" t="s">
        <v>38</v>
      </c>
      <c r="B39" t="s">
        <v>121</v>
      </c>
      <c r="C39" t="s">
        <v>122</v>
      </c>
      <c r="D39" t="s">
        <v>116</v>
      </c>
      <c r="E39" t="str">
        <f t="shared" si="0"/>
        <v>rice bowls, pickled cucumber, brown rice</v>
      </c>
    </row>
    <row r="40" spans="1:5" x14ac:dyDescent="0.35">
      <c r="A40" t="s">
        <v>39</v>
      </c>
      <c r="B40" t="s">
        <v>92</v>
      </c>
      <c r="C40" t="s">
        <v>77</v>
      </c>
      <c r="E40" t="str">
        <f>_xlfn.CONCAT(B40, ", ",C40)</f>
        <v>sweet potato, rice bowl</v>
      </c>
    </row>
    <row r="41" spans="1:5" x14ac:dyDescent="0.35">
      <c r="A41" t="s">
        <v>40</v>
      </c>
      <c r="B41" t="s">
        <v>117</v>
      </c>
      <c r="C41" t="s">
        <v>84</v>
      </c>
      <c r="D41" t="s">
        <v>114</v>
      </c>
      <c r="E41" t="str">
        <f t="shared" si="0"/>
        <v>salted egg, beef patty, chicken thigh</v>
      </c>
    </row>
    <row r="42" spans="1:5" x14ac:dyDescent="0.35">
      <c r="A42" t="s">
        <v>41</v>
      </c>
      <c r="B42" t="s">
        <v>123</v>
      </c>
      <c r="C42" t="s">
        <v>124</v>
      </c>
      <c r="D42" t="s">
        <v>125</v>
      </c>
      <c r="E42" t="str">
        <f t="shared" si="0"/>
        <v>milk tea, thai green, thai milk</v>
      </c>
    </row>
    <row r="43" spans="1:5" x14ac:dyDescent="0.35">
      <c r="A43" t="s">
        <v>42</v>
      </c>
      <c r="B43" t="s">
        <v>115</v>
      </c>
      <c r="C43" t="s">
        <v>92</v>
      </c>
      <c r="E43" t="str">
        <f>_xlfn.CONCAT(B43, ", ",C43)</f>
        <v>pulled pork, sweet potato</v>
      </c>
    </row>
    <row r="44" spans="1:5" x14ac:dyDescent="0.35">
      <c r="A44" t="s">
        <v>43</v>
      </c>
      <c r="B44" t="s">
        <v>115</v>
      </c>
      <c r="C44" t="s">
        <v>95</v>
      </c>
      <c r="D44" t="s">
        <v>87</v>
      </c>
      <c r="E44" t="str">
        <f t="shared" si="0"/>
        <v>pulled pork, smoked salmon, dark chocolate</v>
      </c>
    </row>
    <row r="45" spans="1:5" x14ac:dyDescent="0.35">
      <c r="A45" t="s">
        <v>44</v>
      </c>
      <c r="B45" t="s">
        <v>115</v>
      </c>
      <c r="C45" t="s">
        <v>96</v>
      </c>
      <c r="E45" t="str">
        <f>_xlfn.CONCAT(B45, ", ",C45)</f>
        <v>pulled pork, aglio olio</v>
      </c>
    </row>
    <row r="46" spans="1:5" x14ac:dyDescent="0.35">
      <c r="A46" t="s">
        <v>45</v>
      </c>
      <c r="B46" t="s">
        <v>126</v>
      </c>
      <c r="C46" t="s">
        <v>80</v>
      </c>
      <c r="D46" t="s">
        <v>97</v>
      </c>
      <c r="E46" t="str">
        <f t="shared" si="0"/>
        <v>chocolate sponge, chocolate mousse, truffle oil</v>
      </c>
    </row>
    <row r="47" spans="1:5" x14ac:dyDescent="0.35">
      <c r="A47" t="s">
        <v>46</v>
      </c>
      <c r="B47" t="s">
        <v>87</v>
      </c>
      <c r="E47" t="str">
        <f>B47</f>
        <v>dark chocolate</v>
      </c>
    </row>
    <row r="48" spans="1:5" x14ac:dyDescent="0.35">
      <c r="A48" t="s">
        <v>47</v>
      </c>
      <c r="B48" t="s">
        <v>76</v>
      </c>
      <c r="C48" t="s">
        <v>103</v>
      </c>
      <c r="D48" t="s">
        <v>85</v>
      </c>
      <c r="E48" t="str">
        <f t="shared" si="0"/>
        <v>lemon curd, custard cream, whipped cream</v>
      </c>
    </row>
    <row r="49" spans="1:5" x14ac:dyDescent="0.35">
      <c r="A49" t="s">
        <v>48</v>
      </c>
      <c r="B49" t="s">
        <v>87</v>
      </c>
      <c r="E49" t="str">
        <f>B49</f>
        <v>dark chocolate</v>
      </c>
    </row>
    <row r="50" spans="1:5" x14ac:dyDescent="0.35">
      <c r="A50" t="s">
        <v>49</v>
      </c>
      <c r="B50" t="s">
        <v>87</v>
      </c>
      <c r="E50" t="str">
        <f>B50</f>
        <v>dark chocolate</v>
      </c>
    </row>
    <row r="51" spans="1:5" x14ac:dyDescent="0.35">
      <c r="A51" t="s">
        <v>50</v>
      </c>
      <c r="B51" t="s">
        <v>127</v>
      </c>
      <c r="C51" t="s">
        <v>116</v>
      </c>
      <c r="D51" t="s">
        <v>128</v>
      </c>
      <c r="E51" t="str">
        <f t="shared" si="0"/>
        <v>wagyu beef, brown rice, egg yolk</v>
      </c>
    </row>
    <row r="52" spans="1:5" x14ac:dyDescent="0.35">
      <c r="A52" t="s">
        <v>51</v>
      </c>
      <c r="B52" t="s">
        <v>92</v>
      </c>
      <c r="C52" t="s">
        <v>129</v>
      </c>
      <c r="D52" t="s">
        <v>106</v>
      </c>
      <c r="E52" t="str">
        <f t="shared" si="0"/>
        <v>sweet potato, red bean, shaved ice</v>
      </c>
    </row>
    <row r="53" spans="1:5" x14ac:dyDescent="0.35">
      <c r="A53" t="s">
        <v>52</v>
      </c>
      <c r="B53" t="s">
        <v>130</v>
      </c>
      <c r="C53" t="s">
        <v>85</v>
      </c>
      <c r="E53" t="str">
        <f>_xlfn.CONCAT(B53, ", ",C53)</f>
        <v>coffee brew, whipped cream</v>
      </c>
    </row>
    <row r="54" spans="1:5" x14ac:dyDescent="0.35">
      <c r="A54" t="s">
        <v>53</v>
      </c>
      <c r="B54" t="s">
        <v>88</v>
      </c>
      <c r="C54" t="s">
        <v>85</v>
      </c>
      <c r="D54" t="s">
        <v>131</v>
      </c>
      <c r="E54" t="str">
        <f t="shared" si="0"/>
        <v>iced mocha, whipped cream, iced cappuccino</v>
      </c>
    </row>
    <row r="55" spans="1:5" x14ac:dyDescent="0.35">
      <c r="A55" t="s">
        <v>54</v>
      </c>
      <c r="B55" t="s">
        <v>110</v>
      </c>
      <c r="C55" t="s">
        <v>76</v>
      </c>
      <c r="E55" t="str">
        <f>_xlfn.CONCAT(B55, ", ",C55)</f>
        <v>cream cheese, lemon curd</v>
      </c>
    </row>
    <row r="56" spans="1:5" x14ac:dyDescent="0.35">
      <c r="A56" t="s">
        <v>55</v>
      </c>
    </row>
    <row r="57" spans="1:5" x14ac:dyDescent="0.35">
      <c r="A57" t="s">
        <v>56</v>
      </c>
      <c r="B57" t="s">
        <v>113</v>
      </c>
      <c r="C57" t="s">
        <v>120</v>
      </c>
      <c r="D57" t="s">
        <v>78</v>
      </c>
      <c r="E57" t="str">
        <f t="shared" si="0"/>
        <v>bean sprouts, coffee tea, gula melaka</v>
      </c>
    </row>
    <row r="58" spans="1:5" x14ac:dyDescent="0.35">
      <c r="A58" t="s">
        <v>57</v>
      </c>
      <c r="B58" t="s">
        <v>78</v>
      </c>
      <c r="E58" t="str">
        <f>B58</f>
        <v>gula melaka</v>
      </c>
    </row>
    <row r="59" spans="1:5" x14ac:dyDescent="0.35">
      <c r="A59" t="s">
        <v>58</v>
      </c>
      <c r="B59" t="s">
        <v>78</v>
      </c>
      <c r="E59" t="str">
        <f>B59</f>
        <v>gula melaka</v>
      </c>
    </row>
    <row r="60" spans="1:5" x14ac:dyDescent="0.35">
      <c r="A60" t="s">
        <v>59</v>
      </c>
      <c r="B60" t="s">
        <v>78</v>
      </c>
      <c r="E60" t="str">
        <f>B60</f>
        <v>gula melaka</v>
      </c>
    </row>
    <row r="61" spans="1:5" x14ac:dyDescent="0.35">
      <c r="A61" t="s">
        <v>60</v>
      </c>
      <c r="B61" t="s">
        <v>112</v>
      </c>
      <c r="C61" t="s">
        <v>88</v>
      </c>
      <c r="E61" t="str">
        <f>_xlfn.CONCAT(B61, ", ",C61)</f>
        <v>red velvet, iced mocha</v>
      </c>
    </row>
    <row r="62" spans="1:5" x14ac:dyDescent="0.35">
      <c r="A62" t="s">
        <v>61</v>
      </c>
      <c r="B62" t="s">
        <v>118</v>
      </c>
      <c r="E62" t="str">
        <f>B62</f>
        <v>kaya toast</v>
      </c>
    </row>
    <row r="63" spans="1:5" x14ac:dyDescent="0.35">
      <c r="A63" t="s">
        <v>62</v>
      </c>
      <c r="B63" t="s">
        <v>132</v>
      </c>
      <c r="E63" t="str">
        <f>B63</f>
        <v>hokkien mee</v>
      </c>
    </row>
    <row r="64" spans="1:5" x14ac:dyDescent="0.35">
      <c r="A64" t="s">
        <v>63</v>
      </c>
      <c r="B64" t="s">
        <v>113</v>
      </c>
      <c r="E64" t="str">
        <f>B64</f>
        <v>bean sprouts</v>
      </c>
    </row>
    <row r="65" spans="1:5" x14ac:dyDescent="0.35">
      <c r="A65" t="s">
        <v>64</v>
      </c>
      <c r="B65" t="s">
        <v>113</v>
      </c>
      <c r="E65" t="str">
        <f>B65</f>
        <v>bean sprouts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Donovan</dc:creator>
  <cp:lastModifiedBy>Donovan</cp:lastModifiedBy>
  <dcterms:created xsi:type="dcterms:W3CDTF">2018-08-04T01:35:00Z</dcterms:created>
  <dcterms:modified xsi:type="dcterms:W3CDTF">2018-08-04T09:45:59Z</dcterms:modified>
</cp:coreProperties>
</file>